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E:\data_analysts_files\project files\main\sales analysis project details\"/>
    </mc:Choice>
  </mc:AlternateContent>
  <xr:revisionPtr revIDLastSave="0" documentId="13_ncr:1_{B4204BE7-2ED3-4210-86C6-D8810D5CF4FA}" xr6:coauthVersionLast="47" xr6:coauthVersionMax="47" xr10:uidLastSave="{00000000-0000-0000-0000-000000000000}"/>
  <bookViews>
    <workbookView xWindow="-108" yWindow="-108" windowWidth="23256" windowHeight="12456" activeTab="1" xr2:uid="{2AF2E060-EE8F-4035-81CC-48FC21E12207}"/>
  </bookViews>
  <sheets>
    <sheet name="raw data" sheetId="1" r:id="rId1"/>
    <sheet name="cleaned data" sheetId="2" r:id="rId2"/>
    <sheet name="Dashboard" sheetId="4" r:id="rId3"/>
  </sheets>
  <definedNames>
    <definedName name="ExternalData_1" localSheetId="1" hidden="1">'cleaned data'!$A$1:$M$11</definedName>
    <definedName name="Slicer_Month_Name">#N/A</definedName>
    <definedName name="Slicer_Region">#N/A</definedName>
    <definedName name="Slicer_Sales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2" l="1"/>
  <c r="N3" i="2"/>
  <c r="N4" i="2"/>
  <c r="N5" i="2"/>
  <c r="N6" i="2"/>
  <c r="N7" i="2"/>
  <c r="N8" i="2"/>
  <c r="N9" i="2"/>
  <c r="N10" i="2"/>
  <c r="N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81DB2B-03B6-4DD1-BE04-3B9D67A3ECB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<sst xmlns="http://schemas.openxmlformats.org/spreadsheetml/2006/main" count="177" uniqueCount="83">
  <si>
    <t>Transaction_ID</t>
  </si>
  <si>
    <t>Order Date</t>
  </si>
  <si>
    <t>Product</t>
  </si>
  <si>
    <t>Category</t>
  </si>
  <si>
    <t>Units Sold</t>
  </si>
  <si>
    <t>Unit Price</t>
  </si>
  <si>
    <t>Salesperson</t>
  </si>
  <si>
    <t>Region</t>
  </si>
  <si>
    <t>TXN-001</t>
  </si>
  <si>
    <t>Mobile Phone</t>
  </si>
  <si>
    <t xml:space="preserve"> mobile devices </t>
  </si>
  <si>
    <t>Ali</t>
  </si>
  <si>
    <t>South</t>
  </si>
  <si>
    <t>TXN-002</t>
  </si>
  <si>
    <t>Laptop</t>
  </si>
  <si>
    <t>Computers</t>
  </si>
  <si>
    <t>Raj</t>
  </si>
  <si>
    <t>west</t>
  </si>
  <si>
    <t>TXN-003</t>
  </si>
  <si>
    <t>Tablet</t>
  </si>
  <si>
    <t>Mobile Devices</t>
  </si>
  <si>
    <t xml:space="preserve"> </t>
  </si>
  <si>
    <t>Sara</t>
  </si>
  <si>
    <t>North</t>
  </si>
  <si>
    <t>TXN-004</t>
  </si>
  <si>
    <t>3-15-23</t>
  </si>
  <si>
    <t>Headphones</t>
  </si>
  <si>
    <t>Electronics</t>
  </si>
  <si>
    <t>Mia</t>
  </si>
  <si>
    <t>East</t>
  </si>
  <si>
    <t>TXN-005</t>
  </si>
  <si>
    <t>Smart Watch</t>
  </si>
  <si>
    <t>Wearables</t>
  </si>
  <si>
    <t>Tanvi</t>
  </si>
  <si>
    <t>TXN-006</t>
  </si>
  <si>
    <t>mobile Devices</t>
  </si>
  <si>
    <t>TXN-007</t>
  </si>
  <si>
    <t>04/25/23</t>
  </si>
  <si>
    <t>Charger</t>
  </si>
  <si>
    <t>Accessories</t>
  </si>
  <si>
    <t>West</t>
  </si>
  <si>
    <t>TXN-008</t>
  </si>
  <si>
    <t>computers</t>
  </si>
  <si>
    <t>TXN-009</t>
  </si>
  <si>
    <t>TXN-010</t>
  </si>
  <si>
    <t>electronics</t>
  </si>
  <si>
    <t>Year</t>
  </si>
  <si>
    <t>Month</t>
  </si>
  <si>
    <t>Quarter</t>
  </si>
  <si>
    <t>Day Name</t>
  </si>
  <si>
    <t>01</t>
  </si>
  <si>
    <t>Wednesday</t>
  </si>
  <si>
    <t>02</t>
  </si>
  <si>
    <t>Thursday</t>
  </si>
  <si>
    <t>03</t>
  </si>
  <si>
    <t>Sunday</t>
  </si>
  <si>
    <t>04</t>
  </si>
  <si>
    <t>05</t>
  </si>
  <si>
    <t>Saturday</t>
  </si>
  <si>
    <t>06</t>
  </si>
  <si>
    <t>07</t>
  </si>
  <si>
    <t>Tuesday</t>
  </si>
  <si>
    <t>08</t>
  </si>
  <si>
    <t>09</t>
  </si>
  <si>
    <t>10</t>
  </si>
  <si>
    <t>Revenue</t>
  </si>
  <si>
    <t>Row Labels</t>
  </si>
  <si>
    <t>Grand Total</t>
  </si>
  <si>
    <t>Total Revenue</t>
  </si>
  <si>
    <t>Month Name</t>
  </si>
  <si>
    <t>February</t>
  </si>
  <si>
    <t>March</t>
  </si>
  <si>
    <t>April</t>
  </si>
  <si>
    <t>May</t>
  </si>
  <si>
    <t>October</t>
  </si>
  <si>
    <t>Pivot Tables</t>
  </si>
  <si>
    <t>Insights</t>
  </si>
  <si>
    <r>
      <t>Ali</t>
    </r>
    <r>
      <rPr>
        <sz val="16"/>
        <color theme="1"/>
        <rFont val="Aptos Narrow"/>
        <family val="2"/>
        <scheme val="minor"/>
      </rPr>
      <t xml:space="preserve"> is the </t>
    </r>
    <r>
      <rPr>
        <b/>
        <sz val="16"/>
        <color theme="1"/>
        <rFont val="Aptos Narrow"/>
        <family val="2"/>
        <scheme val="minor"/>
      </rPr>
      <t>top revenue generator</t>
    </r>
  </si>
  <si>
    <r>
      <t>Raj</t>
    </r>
    <r>
      <rPr>
        <sz val="16"/>
        <color theme="1"/>
        <rFont val="Aptos Narrow"/>
        <family val="2"/>
        <scheme val="minor"/>
      </rPr>
      <t xml:space="preserve"> sells the </t>
    </r>
    <r>
      <rPr>
        <b/>
        <sz val="16"/>
        <color theme="1"/>
        <rFont val="Aptos Narrow"/>
        <family val="2"/>
        <scheme val="minor"/>
      </rPr>
      <t>highest units (45)</t>
    </r>
    <r>
      <rPr>
        <sz val="16"/>
        <color theme="1"/>
        <rFont val="Aptos Narrow"/>
        <family val="2"/>
        <scheme val="minor"/>
      </rPr>
      <t xml:space="preserve"> but lower revenue → low-price items</t>
    </r>
  </si>
  <si>
    <r>
      <t>South region</t>
    </r>
    <r>
      <rPr>
        <sz val="16"/>
        <color theme="1"/>
        <rFont val="Aptos Narrow"/>
        <family val="2"/>
        <scheme val="minor"/>
      </rPr>
      <t xml:space="preserve"> performs best overall</t>
    </r>
  </si>
  <si>
    <r>
      <t>North</t>
    </r>
    <r>
      <rPr>
        <sz val="16"/>
        <color theme="1"/>
        <rFont val="Aptos Narrow"/>
        <family val="2"/>
        <scheme val="minor"/>
      </rPr>
      <t xml:space="preserve"> has fewer sales but higher ticket size (Sara)</t>
    </r>
  </si>
  <si>
    <t>unit price</t>
  </si>
  <si>
    <t>(sara)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</si>
</sst>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C09]#,##0"/>
    <numFmt numFmtId="165" formatCode="[$$-1009]#,##0"/>
  </numFmts>
  <fonts count="6" x14ac:knownFonts="1">
    <font>
      <sz val="11"/>
      <color theme="1"/>
      <name val="Aptos Narrow"/>
      <family val="2"/>
      <scheme val="minor"/>
    </font>
    <font>
      <b/>
      <sz val="11"/>
      <color theme="1"/>
      <name val="Aptos Narrow"/>
      <family val="2"/>
      <scheme val="minor"/>
    </font>
    <font>
      <sz val="12"/>
      <color theme="1"/>
      <name val="Aptos Narrow"/>
      <family val="2"/>
      <scheme val="minor"/>
    </font>
    <font>
      <sz val="16"/>
      <color theme="1"/>
      <name val="Aptos Narrow"/>
      <family val="2"/>
      <scheme val="minor"/>
    </font>
    <font>
      <b/>
      <sz val="20"/>
      <color theme="1"/>
      <name val="Aptos Narrow"/>
      <family val="2"/>
      <scheme val="minor"/>
    </font>
    <font>
      <b/>
      <sz val="16"/>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0" fontId="1" fillId="0" borderId="0" xfId="0" applyFont="1"/>
    <xf numFmtId="0" fontId="3" fillId="0" borderId="0" xfId="0" applyFont="1"/>
    <xf numFmtId="0" fontId="3" fillId="0" borderId="0" xfId="0" applyFont="1" applyAlignment="1">
      <alignment horizontal="left"/>
    </xf>
    <xf numFmtId="0" fontId="5" fillId="0" borderId="0" xfId="0" applyFont="1"/>
    <xf numFmtId="0" fontId="2" fillId="0" borderId="0" xfId="0" pivotButton="1" applyFont="1"/>
    <xf numFmtId="0" fontId="2" fillId="0" borderId="0" xfId="0" applyFont="1"/>
    <xf numFmtId="0" fontId="2" fillId="0" borderId="0" xfId="0" applyFont="1" applyAlignment="1">
      <alignment horizontal="left"/>
    </xf>
    <xf numFmtId="164" fontId="2" fillId="0" borderId="0" xfId="0" applyNumberFormat="1" applyFont="1"/>
    <xf numFmtId="165" fontId="2" fillId="0" borderId="0" xfId="0" applyNumberFormat="1" applyFont="1"/>
    <xf numFmtId="0" fontId="4" fillId="2" borderId="0" xfId="0" applyFont="1" applyFill="1" applyAlignment="1">
      <alignment horizontal="center"/>
    </xf>
    <xf numFmtId="0" fontId="0" fillId="2" borderId="0" xfId="0" applyFill="1" applyAlignment="1">
      <alignment horizontal="center"/>
    </xf>
    <xf numFmtId="0" fontId="0" fillId="0" borderId="0" xfId="0" applyAlignment="1">
      <alignment horizontal="center"/>
    </xf>
  </cellXfs>
  <cellStyles count="1">
    <cellStyle name="Normal" xfId="0" builtinId="0"/>
  </cellStyles>
  <dxfs count="2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9" formatCode="dd/mm/yyyy"/>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analysis.xlsx]cleaned data!PivotTable1</c:name>
    <c:fmtId val="2"/>
  </c:pivotSource>
  <c:chart>
    <c:title>
      <c:tx>
        <c:rich>
          <a:bodyPr rot="0" spcFirstLastPara="1" vertOverflow="ellipsis" vert="horz" wrap="square" anchor="ctr" anchorCtr="1"/>
          <a:lstStyle/>
          <a:p>
            <a:pPr lvl="1" algn="ctr" rtl="0">
              <a:defRPr sz="1500" b="1" i="0" u="none" strike="noStrike" kern="1200" cap="all" spc="100" normalizeH="0" baseline="0">
                <a:solidFill>
                  <a:sysClr val="window" lastClr="FFFFFF"/>
                </a:solidFill>
                <a:latin typeface="+mn-lt"/>
                <a:ea typeface="+mn-ea"/>
                <a:cs typeface="+mn-cs"/>
              </a:defRPr>
            </a:pPr>
            <a:r>
              <a:rPr lang="en-US" sz="1800" b="1" cap="none" spc="0">
                <a:ln w="6600">
                  <a:solidFill>
                    <a:schemeClr val="accent2"/>
                  </a:solidFill>
                  <a:prstDash val="solid"/>
                </a:ln>
                <a:solidFill>
                  <a:srgbClr val="FFFFFF"/>
                </a:solidFill>
                <a:effectLst>
                  <a:outerShdw dist="38100" dir="2700000" algn="tl" rotWithShape="0">
                    <a:schemeClr val="accent2"/>
                  </a:outerShdw>
                </a:effectLst>
              </a:rPr>
              <a:t>Monthly</a:t>
            </a:r>
            <a:r>
              <a:rPr lang="en-US" sz="1800" b="1" cap="none" spc="0" baseline="0">
                <a:ln w="6600">
                  <a:solidFill>
                    <a:schemeClr val="accent2"/>
                  </a:solidFill>
                  <a:prstDash val="solid"/>
                </a:ln>
                <a:solidFill>
                  <a:srgbClr val="FFFFFF"/>
                </a:solidFill>
                <a:effectLst>
                  <a:outerShdw dist="38100" dir="2700000" algn="tl" rotWithShape="0">
                    <a:schemeClr val="accent2"/>
                  </a:outerShdw>
                </a:effectLst>
              </a:rPr>
              <a:t> Revenue Trend</a:t>
            </a:r>
          </a:p>
        </c:rich>
      </c:tx>
      <c:layout>
        <c:manualLayout>
          <c:xMode val="edge"/>
          <c:yMode val="edge"/>
          <c:x val="0.24925"/>
          <c:y val="6.8423738699329245E-2"/>
        </c:manualLayout>
      </c:layout>
      <c:overlay val="0"/>
      <c:spPr>
        <a:noFill/>
        <a:ln>
          <a:noFill/>
        </a:ln>
        <a:effectLst/>
      </c:spPr>
      <c:txPr>
        <a:bodyPr rot="0" spcFirstLastPara="1" vertOverflow="ellipsis" vert="horz" wrap="square" anchor="ctr" anchorCtr="1"/>
        <a:lstStyle/>
        <a:p>
          <a:pPr lvl="1" algn="ctr" rtl="0">
            <a:defRPr sz="1500" b="1" i="0"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'cleaned data'!$F$15</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'cleaned data'!$E$16:$E$21</c:f>
              <c:strCache>
                <c:ptCount val="5"/>
                <c:pt idx="0">
                  <c:v>February</c:v>
                </c:pt>
                <c:pt idx="1">
                  <c:v>March</c:v>
                </c:pt>
                <c:pt idx="2">
                  <c:v>April</c:v>
                </c:pt>
                <c:pt idx="3">
                  <c:v>May</c:v>
                </c:pt>
                <c:pt idx="4">
                  <c:v>October</c:v>
                </c:pt>
              </c:strCache>
            </c:strRef>
          </c:cat>
          <c:val>
            <c:numRef>
              <c:f>'cleaned data'!$F$16:$F$21</c:f>
              <c:numCache>
                <c:formatCode>[$$-C09]#,##0</c:formatCode>
                <c:ptCount val="5"/>
                <c:pt idx="0">
                  <c:v>180000</c:v>
                </c:pt>
                <c:pt idx="1">
                  <c:v>275000</c:v>
                </c:pt>
                <c:pt idx="2">
                  <c:v>318000</c:v>
                </c:pt>
                <c:pt idx="3">
                  <c:v>243600</c:v>
                </c:pt>
                <c:pt idx="4">
                  <c:v>186000</c:v>
                </c:pt>
              </c:numCache>
            </c:numRef>
          </c:val>
          <c:smooth val="0"/>
          <c:extLst>
            <c:ext xmlns:c16="http://schemas.microsoft.com/office/drawing/2014/chart" uri="{C3380CC4-5D6E-409C-BE32-E72D297353CC}">
              <c16:uniqueId val="{00000000-556D-424F-9BC1-AD230155D8EF}"/>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29177312"/>
        <c:axId val="1829177792"/>
      </c:lineChart>
      <c:catAx>
        <c:axId val="18291773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spc="30" baseline="0">
                <a:solidFill>
                  <a:schemeClr val="lt1"/>
                </a:solidFill>
                <a:latin typeface="+mn-lt"/>
                <a:ea typeface="+mn-ea"/>
                <a:cs typeface="+mn-cs"/>
              </a:defRPr>
            </a:pPr>
            <a:endParaRPr lang="en-US"/>
          </a:p>
        </c:txPr>
        <c:crossAx val="1829177792"/>
        <c:crosses val="autoZero"/>
        <c:auto val="1"/>
        <c:lblAlgn val="ctr"/>
        <c:lblOffset val="100"/>
        <c:noMultiLvlLbl val="0"/>
      </c:catAx>
      <c:valAx>
        <c:axId val="1829177792"/>
        <c:scaling>
          <c:orientation val="minMax"/>
        </c:scaling>
        <c:delete val="1"/>
        <c:axPos val="l"/>
        <c:numFmt formatCode="[$$-C09]#,##0" sourceLinked="1"/>
        <c:majorTickMark val="out"/>
        <c:minorTickMark val="none"/>
        <c:tickLblPos val="nextTo"/>
        <c:crossAx val="182917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analysis.xlsx]cleaned data!PivotTable3</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b="1" cap="none" spc="0">
                <a:ln w="0"/>
                <a:solidFill>
                  <a:schemeClr val="accent1"/>
                </a:solidFill>
                <a:effectLst>
                  <a:outerShdw blurRad="38100" dist="25400" dir="5400000" algn="ctr" rotWithShape="0">
                    <a:srgbClr val="6E747A">
                      <a:alpha val="43000"/>
                    </a:srgbClr>
                  </a:outerShdw>
                </a:effectLst>
              </a:rPr>
              <a:t>Total Revenue</a:t>
            </a:r>
            <a:r>
              <a:rPr lang="en-IN" b="1" cap="none" spc="0" baseline="0">
                <a:ln w="0"/>
                <a:solidFill>
                  <a:schemeClr val="accent1"/>
                </a:solidFill>
                <a:effectLst>
                  <a:outerShdw blurRad="38100" dist="25400" dir="5400000" algn="ctr" rotWithShape="0">
                    <a:srgbClr val="6E747A">
                      <a:alpha val="43000"/>
                    </a:srgbClr>
                  </a:outerShdw>
                </a:effectLst>
              </a:rPr>
              <a:t> by</a:t>
            </a:r>
            <a:r>
              <a:rPr lang="en-IN" b="1" cap="none" spc="0">
                <a:ln w="0"/>
                <a:solidFill>
                  <a:schemeClr val="accent1"/>
                </a:solidFill>
                <a:effectLst>
                  <a:outerShdw blurRad="38100" dist="25400" dir="5400000" algn="ctr" rotWithShape="0">
                    <a:srgbClr val="6E747A">
                      <a:alpha val="43000"/>
                    </a:srgbClr>
                  </a:outerShdw>
                </a:effectLst>
              </a:rPr>
              <a:t> Region</a:t>
            </a:r>
          </a:p>
        </c:rich>
      </c:tx>
      <c:layout>
        <c:manualLayout>
          <c:xMode val="edge"/>
          <c:yMode val="edge"/>
          <c:x val="0.26275678040244971"/>
          <c:y val="7.3053368328958895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'cleaned data'!$I$15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'cleaned data'!$H$16:$H$20</c:f>
              <c:strCache>
                <c:ptCount val="4"/>
                <c:pt idx="0">
                  <c:v>East</c:v>
                </c:pt>
                <c:pt idx="1">
                  <c:v>North</c:v>
                </c:pt>
                <c:pt idx="2">
                  <c:v>South</c:v>
                </c:pt>
                <c:pt idx="3">
                  <c:v>west</c:v>
                </c:pt>
              </c:strCache>
            </c:strRef>
          </c:cat>
          <c:val>
            <c:numRef>
              <c:f>'cleaned data'!$I$16:$I$20</c:f>
              <c:numCache>
                <c:formatCode>[$$-1009]#,##0</c:formatCode>
                <c:ptCount val="4"/>
                <c:pt idx="0">
                  <c:v>186000</c:v>
                </c:pt>
                <c:pt idx="1">
                  <c:v>168000</c:v>
                </c:pt>
                <c:pt idx="2">
                  <c:v>539600</c:v>
                </c:pt>
                <c:pt idx="3">
                  <c:v>309000</c:v>
                </c:pt>
              </c:numCache>
            </c:numRef>
          </c:val>
          <c:extLst>
            <c:ext xmlns:c16="http://schemas.microsoft.com/office/drawing/2014/chart" uri="{C3380CC4-5D6E-409C-BE32-E72D297353CC}">
              <c16:uniqueId val="{00000000-6E76-410F-A24C-8A444C09EE8A}"/>
            </c:ext>
          </c:extLst>
        </c:ser>
        <c:dLbls>
          <c:dLblPos val="inEnd"/>
          <c:showLegendKey val="0"/>
          <c:showVal val="1"/>
          <c:showCatName val="0"/>
          <c:showSerName val="0"/>
          <c:showPercent val="0"/>
          <c:showBubbleSize val="0"/>
        </c:dLbls>
        <c:gapWidth val="41"/>
        <c:axId val="2044879264"/>
        <c:axId val="420401792"/>
      </c:barChart>
      <c:catAx>
        <c:axId val="2044879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effectLst/>
                <a:latin typeface="+mn-lt"/>
                <a:ea typeface="+mn-ea"/>
                <a:cs typeface="+mn-cs"/>
              </a:defRPr>
            </a:pPr>
            <a:endParaRPr lang="en-US"/>
          </a:p>
        </c:txPr>
        <c:crossAx val="420401792"/>
        <c:crosses val="autoZero"/>
        <c:auto val="1"/>
        <c:lblAlgn val="ctr"/>
        <c:lblOffset val="100"/>
        <c:noMultiLvlLbl val="0"/>
      </c:catAx>
      <c:valAx>
        <c:axId val="420401792"/>
        <c:scaling>
          <c:orientation val="minMax"/>
        </c:scaling>
        <c:delete val="1"/>
        <c:axPos val="l"/>
        <c:numFmt formatCode="[$$-1009]#,##0" sourceLinked="1"/>
        <c:majorTickMark val="none"/>
        <c:minorTickMark val="none"/>
        <c:tickLblPos val="nextTo"/>
        <c:crossAx val="204487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analysis.xlsx]cleaned data!PivotTable4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cap="none" spc="0">
                <a:ln w="0"/>
                <a:solidFill>
                  <a:schemeClr val="accent1"/>
                </a:solidFill>
                <a:effectLst>
                  <a:outerShdw blurRad="38100" dist="25400" dir="5400000" algn="ctr" rotWithShape="0">
                    <a:srgbClr val="6E747A">
                      <a:alpha val="43000"/>
                    </a:srgbClr>
                  </a:outerShdw>
                </a:effectLst>
              </a:rPr>
              <a:t>Total Revenue by Salesperson</a:t>
            </a:r>
          </a:p>
        </c:rich>
      </c:tx>
      <c:layout>
        <c:manualLayout>
          <c:xMode val="edge"/>
          <c:yMode val="edge"/>
          <c:x val="0.3165406573382149"/>
          <c:y val="9.62015164771070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'cleaned data'!$L$15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'cleaned data'!$K$16:$K$21</c:f>
              <c:strCache>
                <c:ptCount val="5"/>
                <c:pt idx="0">
                  <c:v>Ali</c:v>
                </c:pt>
                <c:pt idx="1">
                  <c:v>Mia</c:v>
                </c:pt>
                <c:pt idx="2">
                  <c:v>Raj</c:v>
                </c:pt>
                <c:pt idx="3">
                  <c:v>Sara</c:v>
                </c:pt>
                <c:pt idx="4">
                  <c:v>Tanvi</c:v>
                </c:pt>
              </c:strCache>
            </c:strRef>
          </c:cat>
          <c:val>
            <c:numRef>
              <c:f>'cleaned data'!$L$16:$L$21</c:f>
              <c:numCache>
                <c:formatCode>[$$-1009]#,##0</c:formatCode>
                <c:ptCount val="5"/>
                <c:pt idx="0">
                  <c:v>395600</c:v>
                </c:pt>
                <c:pt idx="1">
                  <c:v>186000</c:v>
                </c:pt>
                <c:pt idx="2">
                  <c:v>309000</c:v>
                </c:pt>
                <c:pt idx="3">
                  <c:v>168000</c:v>
                </c:pt>
                <c:pt idx="4">
                  <c:v>144000</c:v>
                </c:pt>
              </c:numCache>
            </c:numRef>
          </c:val>
          <c:extLst>
            <c:ext xmlns:c16="http://schemas.microsoft.com/office/drawing/2014/chart" uri="{C3380CC4-5D6E-409C-BE32-E72D297353CC}">
              <c16:uniqueId val="{00000000-0B67-4A77-9826-C25FD68A8084}"/>
            </c:ext>
          </c:extLst>
        </c:ser>
        <c:dLbls>
          <c:dLblPos val="outEnd"/>
          <c:showLegendKey val="0"/>
          <c:showVal val="1"/>
          <c:showCatName val="0"/>
          <c:showSerName val="0"/>
          <c:showPercent val="0"/>
          <c:showBubbleSize val="0"/>
        </c:dLbls>
        <c:gapWidth val="182"/>
        <c:axId val="454770176"/>
        <c:axId val="8479279"/>
      </c:barChart>
      <c:catAx>
        <c:axId val="454770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79279"/>
        <c:crosses val="autoZero"/>
        <c:auto val="1"/>
        <c:lblAlgn val="ctr"/>
        <c:lblOffset val="100"/>
        <c:noMultiLvlLbl val="0"/>
      </c:catAx>
      <c:valAx>
        <c:axId val="8479279"/>
        <c:scaling>
          <c:orientation val="minMax"/>
        </c:scaling>
        <c:delete val="1"/>
        <c:axPos val="b"/>
        <c:majorGridlines>
          <c:spPr>
            <a:ln w="9525" cap="flat" cmpd="sng" algn="ctr">
              <a:solidFill>
                <a:schemeClr val="tx1">
                  <a:lumMod val="15000"/>
                  <a:lumOff val="85000"/>
                </a:schemeClr>
              </a:solidFill>
              <a:round/>
            </a:ln>
            <a:effectLst/>
          </c:spPr>
        </c:majorGridlines>
        <c:numFmt formatCode="[$$-1009]#,##0" sourceLinked="1"/>
        <c:majorTickMark val="out"/>
        <c:minorTickMark val="none"/>
        <c:tickLblPos val="nextTo"/>
        <c:crossAx val="45477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114300</xdr:colOff>
      <xdr:row>2</xdr:row>
      <xdr:rowOff>60960</xdr:rowOff>
    </xdr:from>
    <xdr:to>
      <xdr:col>23</xdr:col>
      <xdr:colOff>175260</xdr:colOff>
      <xdr:row>33</xdr:row>
      <xdr:rowOff>38100</xdr:rowOff>
    </xdr:to>
    <xdr:sp macro="" textlink="">
      <xdr:nvSpPr>
        <xdr:cNvPr id="9" name="Rectangle 8">
          <a:extLst>
            <a:ext uri="{FF2B5EF4-FFF2-40B4-BE49-F238E27FC236}">
              <a16:creationId xmlns:a16="http://schemas.microsoft.com/office/drawing/2014/main" id="{5C0381E4-6AC4-846F-3A5F-FC0FB503606F}"/>
            </a:ext>
          </a:extLst>
        </xdr:cNvPr>
        <xdr:cNvSpPr/>
      </xdr:nvSpPr>
      <xdr:spPr>
        <a:xfrm>
          <a:off x="114300" y="426720"/>
          <a:ext cx="14081760" cy="5646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23</xdr:col>
      <xdr:colOff>182880</xdr:colOff>
      <xdr:row>2</xdr:row>
      <xdr:rowOff>45720</xdr:rowOff>
    </xdr:to>
    <xdr:sp macro="" textlink="">
      <xdr:nvSpPr>
        <xdr:cNvPr id="2" name="Rectangle 1">
          <a:extLst>
            <a:ext uri="{FF2B5EF4-FFF2-40B4-BE49-F238E27FC236}">
              <a16:creationId xmlns:a16="http://schemas.microsoft.com/office/drawing/2014/main" id="{9F4BB1B6-0958-6DBE-A072-2536BAAAA7A1}"/>
            </a:ext>
          </a:extLst>
        </xdr:cNvPr>
        <xdr:cNvSpPr/>
      </xdr:nvSpPr>
      <xdr:spPr>
        <a:xfrm>
          <a:off x="0" y="0"/>
          <a:ext cx="14203680" cy="4114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Sales Analysis Dashboard</a:t>
          </a:r>
        </a:p>
        <a:p>
          <a:pPr algn="l"/>
          <a:endParaRPr lang="en-IN" sz="1100"/>
        </a:p>
      </xdr:txBody>
    </xdr:sp>
    <xdr:clientData/>
  </xdr:twoCellAnchor>
  <xdr:twoCellAnchor>
    <xdr:from>
      <xdr:col>7</xdr:col>
      <xdr:colOff>426720</xdr:colOff>
      <xdr:row>2</xdr:row>
      <xdr:rowOff>53340</xdr:rowOff>
    </xdr:from>
    <xdr:to>
      <xdr:col>15</xdr:col>
      <xdr:colOff>251460</xdr:colOff>
      <xdr:row>22</xdr:row>
      <xdr:rowOff>60960</xdr:rowOff>
    </xdr:to>
    <xdr:graphicFrame macro="">
      <xdr:nvGraphicFramePr>
        <xdr:cNvPr id="3" name="Chart 2">
          <a:extLst>
            <a:ext uri="{FF2B5EF4-FFF2-40B4-BE49-F238E27FC236}">
              <a16:creationId xmlns:a16="http://schemas.microsoft.com/office/drawing/2014/main" id="{17984FA8-68E6-4292-B19E-2DB893DFD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2</xdr:row>
      <xdr:rowOff>53340</xdr:rowOff>
    </xdr:from>
    <xdr:to>
      <xdr:col>7</xdr:col>
      <xdr:colOff>373380</xdr:colOff>
      <xdr:row>22</xdr:row>
      <xdr:rowOff>99060</xdr:rowOff>
    </xdr:to>
    <xdr:graphicFrame macro="">
      <xdr:nvGraphicFramePr>
        <xdr:cNvPr id="4" name="Chart 3">
          <a:extLst>
            <a:ext uri="{FF2B5EF4-FFF2-40B4-BE49-F238E27FC236}">
              <a16:creationId xmlns:a16="http://schemas.microsoft.com/office/drawing/2014/main" id="{A9575B09-A13B-4BAC-A63D-99E5AEC73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335280</xdr:colOff>
      <xdr:row>2</xdr:row>
      <xdr:rowOff>45720</xdr:rowOff>
    </xdr:from>
    <xdr:to>
      <xdr:col>23</xdr:col>
      <xdr:colOff>198120</xdr:colOff>
      <xdr:row>22</xdr:row>
      <xdr:rowOff>68580</xdr:rowOff>
    </xdr:to>
    <xdr:graphicFrame macro="">
      <xdr:nvGraphicFramePr>
        <xdr:cNvPr id="5" name="Chart 4">
          <a:extLst>
            <a:ext uri="{FF2B5EF4-FFF2-40B4-BE49-F238E27FC236}">
              <a16:creationId xmlns:a16="http://schemas.microsoft.com/office/drawing/2014/main" id="{082BACE3-96C1-46D9-951C-C806BCAC0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320040</xdr:colOff>
      <xdr:row>22</xdr:row>
      <xdr:rowOff>114300</xdr:rowOff>
    </xdr:from>
    <xdr:to>
      <xdr:col>23</xdr:col>
      <xdr:colOff>205740</xdr:colOff>
      <xdr:row>33</xdr:row>
      <xdr:rowOff>38100</xdr:rowOff>
    </xdr:to>
    <mc:AlternateContent xmlns:mc="http://schemas.openxmlformats.org/markup-compatibility/2006" xmlns:a14="http://schemas.microsoft.com/office/drawing/2010/main">
      <mc:Choice Requires="a14">
        <xdr:graphicFrame macro="">
          <xdr:nvGraphicFramePr>
            <xdr:cNvPr id="6" name="Salesperson">
              <a:extLst>
                <a:ext uri="{FF2B5EF4-FFF2-40B4-BE49-F238E27FC236}">
                  <a16:creationId xmlns:a16="http://schemas.microsoft.com/office/drawing/2014/main" id="{B55060A2-730D-474B-A1AF-36F837F8EE43}"/>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9464040" y="4137660"/>
              <a:ext cx="4762500" cy="1935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434340</xdr:colOff>
      <xdr:row>22</xdr:row>
      <xdr:rowOff>121920</xdr:rowOff>
    </xdr:from>
    <xdr:to>
      <xdr:col>15</xdr:col>
      <xdr:colOff>274320</xdr:colOff>
      <xdr:row>33</xdr:row>
      <xdr:rowOff>45720</xdr:rowOff>
    </xdr:to>
    <mc:AlternateContent xmlns:mc="http://schemas.openxmlformats.org/markup-compatibility/2006" xmlns:a14="http://schemas.microsoft.com/office/drawing/2010/main">
      <mc:Choice Requires="a14">
        <xdr:graphicFrame macro="">
          <xdr:nvGraphicFramePr>
            <xdr:cNvPr id="7" name="Month Name">
              <a:extLst>
                <a:ext uri="{FF2B5EF4-FFF2-40B4-BE49-F238E27FC236}">
                  <a16:creationId xmlns:a16="http://schemas.microsoft.com/office/drawing/2014/main" id="{507D4E89-BD4B-4FD5-A43F-D08A163E31B6}"/>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4701540" y="4145280"/>
              <a:ext cx="4716780" cy="1935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22</xdr:row>
      <xdr:rowOff>137160</xdr:rowOff>
    </xdr:from>
    <xdr:to>
      <xdr:col>7</xdr:col>
      <xdr:colOff>381000</xdr:colOff>
      <xdr:row>33</xdr:row>
      <xdr:rowOff>38100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3C5C1B55-89AC-4EE8-8E0D-72A1110D1A5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5720" y="4160520"/>
              <a:ext cx="4602480" cy="1912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eem" refreshedDate="46054.559070254632" createdVersion="8" refreshedVersion="8" minRefreshableVersion="3" recordCount="10" xr:uid="{0FDF76B0-87B4-4690-9F0F-0EC70784C9E9}">
  <cacheSource type="worksheet">
    <worksheetSource name="Table1_1"/>
  </cacheSource>
  <cacheFields count="14">
    <cacheField name="Transaction_ID" numFmtId="0">
      <sharedItems/>
    </cacheField>
    <cacheField name="Order Date" numFmtId="14">
      <sharedItems containsSemiMixedTypes="0" containsNonDate="0" containsDate="1" containsString="0" minDate="2023-02-01T00:00:00" maxDate="2023-10-06T00:00:00"/>
    </cacheField>
    <cacheField name="Product" numFmtId="0">
      <sharedItems/>
    </cacheField>
    <cacheField name="Category" numFmtId="0">
      <sharedItems/>
    </cacheField>
    <cacheField name="Units Sold" numFmtId="0">
      <sharedItems containsSemiMixedTypes="0" containsString="0" containsNumber="1" containsInteger="1" minValue="0" maxValue="40"/>
    </cacheField>
    <cacheField name="Unit Price" numFmtId="0">
      <sharedItems containsSemiMixedTypes="0" containsString="0" containsNumber="1" containsInteger="1" minValue="0" maxValue="56000"/>
    </cacheField>
    <cacheField name="Salesperson" numFmtId="0">
      <sharedItems count="5">
        <s v="Ali"/>
        <s v="Raj"/>
        <s v="Sara"/>
        <s v="Mia"/>
        <s v="Tanvi"/>
      </sharedItems>
    </cacheField>
    <cacheField name="Region" numFmtId="0">
      <sharedItems count="4">
        <s v="South"/>
        <s v="west"/>
        <s v="North"/>
        <s v="East"/>
      </sharedItems>
    </cacheField>
    <cacheField name="Year" numFmtId="0">
      <sharedItems containsSemiMixedTypes="0" containsString="0" containsNumber="1" containsInteger="1" minValue="2023" maxValue="2023" count="1">
        <n v="2023"/>
      </sharedItems>
    </cacheField>
    <cacheField name="Month" numFmtId="0">
      <sharedItems containsSemiMixedTypes="0" containsString="0" containsNumber="1" containsInteger="1" minValue="2" maxValue="10" count="5">
        <n v="2"/>
        <n v="3"/>
        <n v="4"/>
        <n v="5"/>
        <n v="10"/>
      </sharedItems>
    </cacheField>
    <cacheField name="Quarter" numFmtId="0">
      <sharedItems containsSemiMixedTypes="0" containsString="0" containsNumber="1" containsInteger="1" minValue="1" maxValue="4"/>
    </cacheField>
    <cacheField name="Day Name" numFmtId="0">
      <sharedItems/>
    </cacheField>
    <cacheField name="Month Name" numFmtId="0">
      <sharedItems count="5">
        <s v="February"/>
        <s v="March"/>
        <s v="April"/>
        <s v="May"/>
        <s v="October"/>
      </sharedItems>
    </cacheField>
    <cacheField name="Revenue" numFmtId="0">
      <sharedItems containsSemiMixedTypes="0" containsString="0" containsNumber="1" containsInteger="1" minValue="0" maxValue="275000"/>
    </cacheField>
  </cacheFields>
  <extLst>
    <ext xmlns:x14="http://schemas.microsoft.com/office/spreadsheetml/2009/9/main" uri="{725AE2AE-9491-48be-B2B4-4EB974FC3084}">
      <x14:pivotCacheDefinition pivotCacheId="1808246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01"/>
    <d v="2023-02-01T00:00:00"/>
    <s v="Mobile Phone"/>
    <s v="Mobile Devices"/>
    <n v="10"/>
    <n v="18000"/>
    <x v="0"/>
    <x v="0"/>
    <x v="0"/>
    <x v="0"/>
    <n v="1"/>
    <s v="Wednesday"/>
    <x v="0"/>
    <n v="180000"/>
  </r>
  <r>
    <s v="02"/>
    <d v="2023-03-02T00:00:00"/>
    <s v="Laptop"/>
    <s v="Computers"/>
    <n v="5"/>
    <n v="55000"/>
    <x v="1"/>
    <x v="1"/>
    <x v="0"/>
    <x v="1"/>
    <n v="1"/>
    <s v="Thursday"/>
    <x v="1"/>
    <n v="275000"/>
  </r>
  <r>
    <s v="03"/>
    <d v="2023-03-05T00:00:00"/>
    <s v="Tablet"/>
    <s v="Mobile Devices"/>
    <n v="0"/>
    <n v="32000"/>
    <x v="2"/>
    <x v="2"/>
    <x v="0"/>
    <x v="1"/>
    <n v="1"/>
    <s v="Sunday"/>
    <x v="1"/>
    <n v="0"/>
  </r>
  <r>
    <s v="04"/>
    <d v="2023-03-15T00:00:00"/>
    <s v="Headphones"/>
    <s v="Electronics"/>
    <n v="25"/>
    <n v="0"/>
    <x v="3"/>
    <x v="3"/>
    <x v="0"/>
    <x v="1"/>
    <n v="1"/>
    <s v="Wednesday"/>
    <x v="1"/>
    <n v="0"/>
  </r>
  <r>
    <s v="05"/>
    <d v="2023-04-15T00:00:00"/>
    <s v="Smart Watch"/>
    <s v="Wearables"/>
    <n v="12"/>
    <n v="12000"/>
    <x v="4"/>
    <x v="0"/>
    <x v="0"/>
    <x v="2"/>
    <n v="2"/>
    <s v="Saturday"/>
    <x v="2"/>
    <n v="144000"/>
  </r>
  <r>
    <s v="06"/>
    <d v="2023-04-20T00:00:00"/>
    <s v="Mobile Phone"/>
    <s v="Mobile Devices"/>
    <n v="8"/>
    <n v="17500"/>
    <x v="0"/>
    <x v="0"/>
    <x v="0"/>
    <x v="2"/>
    <n v="2"/>
    <s v="Thursday"/>
    <x v="2"/>
    <n v="140000"/>
  </r>
  <r>
    <s v="07"/>
    <d v="2023-04-25T00:00:00"/>
    <s v="Charger"/>
    <s v="Accessories"/>
    <n v="40"/>
    <n v="850"/>
    <x v="1"/>
    <x v="1"/>
    <x v="0"/>
    <x v="2"/>
    <n v="2"/>
    <s v="Tuesday"/>
    <x v="2"/>
    <n v="34000"/>
  </r>
  <r>
    <s v="08"/>
    <d v="2023-05-02T00:00:00"/>
    <s v="Laptop"/>
    <s v="Computers"/>
    <n v="3"/>
    <n v="56000"/>
    <x v="2"/>
    <x v="2"/>
    <x v="0"/>
    <x v="3"/>
    <n v="2"/>
    <s v="Tuesday"/>
    <x v="3"/>
    <n v="168000"/>
  </r>
  <r>
    <s v="09"/>
    <d v="2023-10-05T00:00:00"/>
    <s v="Tablet"/>
    <s v="Mobile Devices"/>
    <n v="6"/>
    <n v="31000"/>
    <x v="3"/>
    <x v="3"/>
    <x v="0"/>
    <x v="4"/>
    <n v="4"/>
    <s v="Thursday"/>
    <x v="4"/>
    <n v="186000"/>
  </r>
  <r>
    <s v="10"/>
    <d v="2023-05-18T00:00:00"/>
    <s v="Headphones"/>
    <s v="Electronics"/>
    <n v="18"/>
    <n v="4200"/>
    <x v="0"/>
    <x v="0"/>
    <x v="0"/>
    <x v="3"/>
    <n v="2"/>
    <s v="Thursday"/>
    <x v="3"/>
    <n v="75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2D45C4-31AF-44C3-BBE2-CA52CAC7BD7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5:L21" firstHeaderRow="1" firstDataRow="1" firstDataCol="1"/>
  <pivotFields count="14">
    <pivotField showAll="0"/>
    <pivotField numFmtId="14" showAll="0"/>
    <pivotField showAll="0"/>
    <pivotField showAll="0"/>
    <pivotField showAll="0"/>
    <pivotField showAll="0"/>
    <pivotField axis="axisRow" showAll="0">
      <items count="6">
        <item x="0"/>
        <item x="3"/>
        <item x="1"/>
        <item x="2"/>
        <item x="4"/>
        <item t="default"/>
      </items>
    </pivotField>
    <pivotField showAll="0">
      <items count="5">
        <item x="3"/>
        <item x="2"/>
        <item x="0"/>
        <item x="1"/>
        <item t="default"/>
      </items>
    </pivotField>
    <pivotField showAll="0"/>
    <pivotField showAll="0"/>
    <pivotField showAll="0"/>
    <pivotField showAll="0"/>
    <pivotField showAll="0">
      <items count="6">
        <item x="0"/>
        <item x="1"/>
        <item x="2"/>
        <item x="3"/>
        <item x="4"/>
        <item t="default"/>
      </items>
    </pivotField>
    <pivotField dataField="1" showAll="0"/>
  </pivotFields>
  <rowFields count="1">
    <field x="6"/>
  </rowFields>
  <rowItems count="6">
    <i>
      <x/>
    </i>
    <i>
      <x v="1"/>
    </i>
    <i>
      <x v="2"/>
    </i>
    <i>
      <x v="3"/>
    </i>
    <i>
      <x v="4"/>
    </i>
    <i t="grand">
      <x/>
    </i>
  </rowItems>
  <colItems count="1">
    <i/>
  </colItems>
  <dataFields count="1">
    <dataField name="Total Revenue" fld="13" baseField="6" baseItem="0" numFmtId="165"/>
  </dataFields>
  <formats count="6">
    <format dxfId="14">
      <pivotArea type="all" dataOnly="0" outline="0" fieldPosition="0"/>
    </format>
    <format dxfId="13">
      <pivotArea outline="0" collapsedLevelsAreSubtotals="1" fieldPosition="0"/>
    </format>
    <format dxfId="12">
      <pivotArea field="6" type="button" dataOnly="0" labelOnly="1" outline="0" axis="axisRow" fieldPosition="0"/>
    </format>
    <format dxfId="11">
      <pivotArea dataOnly="0" labelOnly="1" fieldPosition="0">
        <references count="1">
          <reference field="6" count="0"/>
        </references>
      </pivotArea>
    </format>
    <format dxfId="10">
      <pivotArea dataOnly="0" labelOnly="1" grandRow="1" outline="0" fieldPosition="0"/>
    </format>
    <format dxfId="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A95884-4E3F-44FF-975E-15E0CB2F6A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5:I20" firstHeaderRow="1" firstDataRow="1" firstDataCol="1"/>
  <pivotFields count="14">
    <pivotField showAll="0"/>
    <pivotField numFmtId="14" showAll="0"/>
    <pivotField showAll="0"/>
    <pivotField showAll="0"/>
    <pivotField showAll="0"/>
    <pivotField showAll="0"/>
    <pivotField showAll="0">
      <items count="6">
        <item x="0"/>
        <item x="3"/>
        <item x="1"/>
        <item x="2"/>
        <item x="4"/>
        <item t="default"/>
      </items>
    </pivotField>
    <pivotField axis="axisRow" showAll="0">
      <items count="5">
        <item x="3"/>
        <item x="2"/>
        <item x="0"/>
        <item x="1"/>
        <item t="default"/>
      </items>
    </pivotField>
    <pivotField showAll="0"/>
    <pivotField showAll="0"/>
    <pivotField showAll="0"/>
    <pivotField showAll="0"/>
    <pivotField showAll="0">
      <items count="6">
        <item x="0"/>
        <item x="1"/>
        <item x="2"/>
        <item x="3"/>
        <item x="4"/>
        <item t="default"/>
      </items>
    </pivotField>
    <pivotField dataField="1" showAll="0"/>
  </pivotFields>
  <rowFields count="1">
    <field x="7"/>
  </rowFields>
  <rowItems count="5">
    <i>
      <x/>
    </i>
    <i>
      <x v="1"/>
    </i>
    <i>
      <x v="2"/>
    </i>
    <i>
      <x v="3"/>
    </i>
    <i t="grand">
      <x/>
    </i>
  </rowItems>
  <colItems count="1">
    <i/>
  </colItems>
  <dataFields count="1">
    <dataField name="Total Revenue" fld="13" baseField="7" baseItem="0" numFmtId="165"/>
  </dataFields>
  <formats count="6">
    <format dxfId="20">
      <pivotArea type="all" dataOnly="0" outline="0" fieldPosition="0"/>
    </format>
    <format dxfId="19">
      <pivotArea outline="0" collapsedLevelsAreSubtotals="1" fieldPosition="0"/>
    </format>
    <format dxfId="18">
      <pivotArea field="7" type="button" dataOnly="0" labelOnly="1" outline="0" axis="axisRow" fieldPosition="0"/>
    </format>
    <format dxfId="17">
      <pivotArea dataOnly="0" labelOnly="1" fieldPosition="0">
        <references count="1">
          <reference field="7" count="0"/>
        </references>
      </pivotArea>
    </format>
    <format dxfId="16">
      <pivotArea dataOnly="0" labelOnly="1" grandRow="1" outline="0" fieldPosition="0"/>
    </format>
    <format dxfId="15">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53D65C-9A6A-4B9D-8132-8434A815CA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E15:F21" firstHeaderRow="1" firstDataRow="1" firstDataCol="1"/>
  <pivotFields count="14">
    <pivotField showAll="0"/>
    <pivotField numFmtId="14" showAll="0"/>
    <pivotField showAll="0"/>
    <pivotField showAll="0"/>
    <pivotField showAll="0"/>
    <pivotField showAll="0"/>
    <pivotField showAll="0">
      <items count="6">
        <item x="0"/>
        <item x="3"/>
        <item x="1"/>
        <item x="2"/>
        <item x="4"/>
        <item t="default"/>
      </items>
    </pivotField>
    <pivotField showAll="0">
      <items count="5">
        <item x="3"/>
        <item x="2"/>
        <item x="0"/>
        <item x="1"/>
        <item t="default"/>
      </items>
    </pivotField>
    <pivotField showAll="0">
      <items count="2">
        <item x="0"/>
        <item t="default"/>
      </items>
    </pivotField>
    <pivotField showAll="0">
      <items count="6">
        <item x="0"/>
        <item x="1"/>
        <item x="2"/>
        <item x="3"/>
        <item x="4"/>
        <item t="default"/>
      </items>
    </pivotField>
    <pivotField showAll="0"/>
    <pivotField showAll="0"/>
    <pivotField axis="axisRow" showAll="0">
      <items count="6">
        <item x="0"/>
        <item x="1"/>
        <item x="2"/>
        <item x="3"/>
        <item x="4"/>
        <item t="default"/>
      </items>
    </pivotField>
    <pivotField dataField="1" showAll="0"/>
  </pivotFields>
  <rowFields count="1">
    <field x="12"/>
  </rowFields>
  <rowItems count="6">
    <i>
      <x/>
    </i>
    <i>
      <x v="1"/>
    </i>
    <i>
      <x v="2"/>
    </i>
    <i>
      <x v="3"/>
    </i>
    <i>
      <x v="4"/>
    </i>
    <i t="grand">
      <x/>
    </i>
  </rowItems>
  <colItems count="1">
    <i/>
  </colItems>
  <dataFields count="1">
    <dataField name="Total Revenue" fld="13" baseField="6" baseItem="0" numFmtId="164"/>
  </dataFields>
  <formats count="6">
    <format dxfId="26">
      <pivotArea type="all" dataOnly="0" outline="0" fieldPosition="0"/>
    </format>
    <format dxfId="25">
      <pivotArea outline="0" collapsedLevelsAreSubtotals="1" fieldPosition="0"/>
    </format>
    <format dxfId="24">
      <pivotArea field="12" type="button" dataOnly="0" labelOnly="1" outline="0" axis="axisRow" fieldPosition="0"/>
    </format>
    <format dxfId="23">
      <pivotArea dataOnly="0" labelOnly="1" fieldPosition="0">
        <references count="1">
          <reference field="12" count="0"/>
        </references>
      </pivotArea>
    </format>
    <format dxfId="22">
      <pivotArea dataOnly="0" labelOnly="1" grandRow="1" outline="0" fieldPosition="0"/>
    </format>
    <format dxfId="21">
      <pivotArea dataOnly="0" labelOnly="1" outline="0" axis="axisValues"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BDA5CEA-39DB-46C6-8A49-9F58050720E4}" autoFormatId="16" applyNumberFormats="0" applyBorderFormats="0" applyFontFormats="0" applyPatternFormats="0" applyAlignmentFormats="0" applyWidthHeightFormats="0">
  <queryTableRefresh nextId="15" unboundColumnsRight="1">
    <queryTableFields count="14">
      <queryTableField id="1" name="Transaction_ID" tableColumnId="1"/>
      <queryTableField id="2" name="Order Date" tableColumnId="2"/>
      <queryTableField id="3" name="Product" tableColumnId="3"/>
      <queryTableField id="4" name="Category" tableColumnId="4"/>
      <queryTableField id="5" name="Units Sold" tableColumnId="5"/>
      <queryTableField id="6" name="Unit Price" tableColumnId="6"/>
      <queryTableField id="7" name="Salesperson" tableColumnId="7"/>
      <queryTableField id="8" name="Region" tableColumnId="8"/>
      <queryTableField id="9" name="Year" tableColumnId="9"/>
      <queryTableField id="10" name="Month" tableColumnId="10"/>
      <queryTableField id="11" name="Quarter" tableColumnId="11"/>
      <queryTableField id="12" name="Day Name" tableColumnId="12"/>
      <queryTableField id="14" name="Month Name" tableColumnId="14"/>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BAE1856E-E615-42A0-BDE8-F43EC602BF27}" sourceName="Salesperson">
  <pivotTables>
    <pivotTable tabId="2" name="PivotTable1"/>
    <pivotTable tabId="2" name="PivotTable3"/>
    <pivotTable tabId="2" name="PivotTable4"/>
  </pivotTables>
  <data>
    <tabular pivotCacheId="1808246607">
      <items count="5">
        <i x="0" s="1"/>
        <i x="3" s="1"/>
        <i x="1"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74E945BD-79AC-496E-9BAA-1CB0BB3FABAF}" sourceName="Month Name">
  <pivotTables>
    <pivotTable tabId="2" name="PivotTable1"/>
    <pivotTable tabId="2" name="PivotTable3"/>
    <pivotTable tabId="2" name="PivotTable4"/>
  </pivotTables>
  <data>
    <tabular pivotCacheId="1808246607">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A500D2-B940-40D7-AED8-CEFDE24AC3EB}" sourceName="Region">
  <pivotTables>
    <pivotTable tabId="2" name="PivotTable1"/>
    <pivotTable tabId="2" name="PivotTable3"/>
    <pivotTable tabId="2" name="PivotTable4"/>
  </pivotTables>
  <data>
    <tabular pivotCacheId="1808246607">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4264A65F-C44C-451E-B60A-A5E276F69080}" cache="Slicer_Salesperson" caption="Salesperson" style="SlicerStyleDark1" rowHeight="247650"/>
  <slicer name="Month Name" xr10:uid="{4DAD519E-8CD3-43E1-93EE-BF0E0A3BF661}" cache="Slicer_Month_Name" caption="Month Name" style="SlicerStyleDark1" rowHeight="247650"/>
  <slicer name="Region" xr10:uid="{5D709177-FF1D-45F0-BC48-0B8A0E132E9E}" cache="Slicer_Region" caption="Region" style="SlicerStyleDark1"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DEB91D-6D17-4A3A-816B-F76A0AD28B04}" name="Table1" displayName="Table1" ref="A1:H11" totalsRowShown="0" headerRowDxfId="28">
  <autoFilter ref="A1:H11" xr:uid="{A2DEB91D-6D17-4A3A-816B-F76A0AD28B04}"/>
  <tableColumns count="8">
    <tableColumn id="1" xr3:uid="{13F1B5F9-C3C0-4794-BE6D-2FDBE1FA6F96}" name="Transaction_ID"/>
    <tableColumn id="2" xr3:uid="{37EBB530-64C0-4DAF-AFC0-D5DE377C2D9D}" name="Order Date" dataDxfId="27"/>
    <tableColumn id="3" xr3:uid="{BE9004E7-1DD4-4623-9D79-512E159A7592}" name="Product"/>
    <tableColumn id="4" xr3:uid="{492BD45B-633D-42F8-847F-408666A6504C}" name="Category"/>
    <tableColumn id="5" xr3:uid="{1B10AD77-4EFB-43E9-9113-4F8B3A08D9A0}" name="Units Sold"/>
    <tableColumn id="6" xr3:uid="{FDCDAB16-767C-4300-B7D2-BF8A2B8BC020}" name="Unit Price"/>
    <tableColumn id="7" xr3:uid="{33A1F835-CDFF-430D-B6D0-AF0F941EA332}" name="Salesperson"/>
    <tableColumn id="8" xr3:uid="{5546358B-F6BD-4916-9A26-0149E38EBD30}" name="Reg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5415C7-13FC-4342-8A88-72340C8BF5D8}" name="Table1_1" displayName="Table1_1" ref="A1:N11" tableType="queryTable" totalsRowShown="0">
  <autoFilter ref="A1:N11" xr:uid="{CA5415C7-13FC-4342-8A88-72340C8BF5D8}"/>
  <tableColumns count="14">
    <tableColumn id="1" xr3:uid="{F572E9A9-0E34-4475-9C6F-7CD34D2E0408}" uniqueName="1" name="Transaction_ID" queryTableFieldId="1" dataDxfId="8"/>
    <tableColumn id="2" xr3:uid="{809A472A-71CC-4D41-B3F3-5DC452409CB2}" uniqueName="2" name="Order Date" queryTableFieldId="2" dataDxfId="7"/>
    <tableColumn id="3" xr3:uid="{7E423B96-4D52-48BC-898E-32025ED7EF51}" uniqueName="3" name="Product" queryTableFieldId="3" dataDxfId="6"/>
    <tableColumn id="4" xr3:uid="{721A5F08-39F3-4D92-A8D5-584E89391E3E}" uniqueName="4" name="Category" queryTableFieldId="4" dataDxfId="5"/>
    <tableColumn id="5" xr3:uid="{F40A53D7-8EA6-441D-876C-85270D8A8568}" uniqueName="5" name="Units Sold" queryTableFieldId="5"/>
    <tableColumn id="6" xr3:uid="{4D0C3AFC-EC3E-41E2-BE68-BFDB55121794}" uniqueName="6" name="Unit Price" queryTableFieldId="6"/>
    <tableColumn id="7" xr3:uid="{74FAF398-CA9E-4378-AE70-C4672D2A9EDE}" uniqueName="7" name="Salesperson" queryTableFieldId="7" dataDxfId="4"/>
    <tableColumn id="8" xr3:uid="{03132B6B-B031-48F9-8C00-E908E5CA136C}" uniqueName="8" name="Region" queryTableFieldId="8" dataDxfId="3"/>
    <tableColumn id="9" xr3:uid="{CB7547AE-0F29-4ED9-A720-F21FC5FE13A4}" uniqueName="9" name="Year" queryTableFieldId="9"/>
    <tableColumn id="10" xr3:uid="{402049A0-820D-4040-85CE-54937D0B3661}" uniqueName="10" name="Month" queryTableFieldId="10"/>
    <tableColumn id="11" xr3:uid="{E1097F83-7B07-434F-B646-00E49F4307C9}" uniqueName="11" name="Quarter" queryTableFieldId="11"/>
    <tableColumn id="12" xr3:uid="{A63A8306-C14C-4CC7-AED9-E073E225267F}" uniqueName="12" name="Day Name" queryTableFieldId="12" dataDxfId="2"/>
    <tableColumn id="14" xr3:uid="{38FB3D88-9EF1-4960-ADB9-200895634990}" uniqueName="14" name="Month Name" queryTableFieldId="14" dataDxfId="1"/>
    <tableColumn id="13" xr3:uid="{F0971687-BBDC-4AC4-B48F-E43A4A8F42E1}" uniqueName="13" name="Revenue" queryTableFieldId="13" dataDxfId="0">
      <calculatedColumnFormula>PRODUCT(Table1_1[[#This Row],[Units Sold]],Table1_1[[#This Row],[Unit Price]])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EA0F354-1B4A-4B72-AA8F-9E179BD7DE82}">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val="1"/>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20BA3-B4FC-4E11-A6CE-485ABC8FBD28}">
  <dimension ref="A1:H11"/>
  <sheetViews>
    <sheetView workbookViewId="0">
      <selection activeCell="F23" sqref="F23"/>
    </sheetView>
  </sheetViews>
  <sheetFormatPr defaultRowHeight="14.4" x14ac:dyDescent="0.3"/>
  <cols>
    <col min="1" max="1" width="15.109375" customWidth="1"/>
    <col min="2" max="2" width="11.88671875" customWidth="1"/>
    <col min="3" max="3" width="9.44140625" customWidth="1"/>
    <col min="4" max="4" width="10.21875" customWidth="1"/>
    <col min="5" max="5" width="11.33203125" customWidth="1"/>
    <col min="6" max="6" width="11" customWidth="1"/>
    <col min="7" max="7" width="13.109375" customWidth="1"/>
  </cols>
  <sheetData>
    <row r="1" spans="1:8" x14ac:dyDescent="0.3">
      <c r="A1" s="2" t="s">
        <v>0</v>
      </c>
      <c r="B1" s="2" t="s">
        <v>1</v>
      </c>
      <c r="C1" s="2" t="s">
        <v>2</v>
      </c>
      <c r="D1" s="2" t="s">
        <v>3</v>
      </c>
      <c r="E1" s="2" t="s">
        <v>4</v>
      </c>
      <c r="F1" s="2" t="s">
        <v>5</v>
      </c>
      <c r="G1" s="2" t="s">
        <v>6</v>
      </c>
      <c r="H1" s="2" t="s">
        <v>7</v>
      </c>
    </row>
    <row r="2" spans="1:8" x14ac:dyDescent="0.3">
      <c r="A2" t="s">
        <v>8</v>
      </c>
      <c r="B2" s="1">
        <v>44958</v>
      </c>
      <c r="C2" t="s">
        <v>9</v>
      </c>
      <c r="D2" t="s">
        <v>10</v>
      </c>
      <c r="E2">
        <v>10</v>
      </c>
      <c r="F2">
        <v>18000</v>
      </c>
      <c r="G2" t="s">
        <v>11</v>
      </c>
      <c r="H2" t="s">
        <v>12</v>
      </c>
    </row>
    <row r="3" spans="1:8" x14ac:dyDescent="0.3">
      <c r="A3" t="s">
        <v>13</v>
      </c>
      <c r="B3" s="1">
        <v>44987</v>
      </c>
      <c r="C3" t="s">
        <v>14</v>
      </c>
      <c r="D3" t="s">
        <v>15</v>
      </c>
      <c r="E3">
        <v>5</v>
      </c>
      <c r="F3">
        <v>55000</v>
      </c>
      <c r="G3" t="s">
        <v>16</v>
      </c>
      <c r="H3" t="s">
        <v>17</v>
      </c>
    </row>
    <row r="4" spans="1:8" x14ac:dyDescent="0.3">
      <c r="A4" t="s">
        <v>18</v>
      </c>
      <c r="B4" s="1">
        <v>44990</v>
      </c>
      <c r="C4" t="s">
        <v>19</v>
      </c>
      <c r="D4" t="s">
        <v>20</v>
      </c>
      <c r="E4" t="s">
        <v>21</v>
      </c>
      <c r="F4">
        <v>32000</v>
      </c>
      <c r="G4" t="s">
        <v>22</v>
      </c>
      <c r="H4" t="s">
        <v>23</v>
      </c>
    </row>
    <row r="5" spans="1:8" x14ac:dyDescent="0.3">
      <c r="A5" t="s">
        <v>24</v>
      </c>
      <c r="B5" t="s">
        <v>25</v>
      </c>
      <c r="C5" t="s">
        <v>26</v>
      </c>
      <c r="D5" t="s">
        <v>27</v>
      </c>
      <c r="E5">
        <v>25</v>
      </c>
      <c r="F5" t="s">
        <v>21</v>
      </c>
      <c r="G5" t="s">
        <v>28</v>
      </c>
      <c r="H5" t="s">
        <v>29</v>
      </c>
    </row>
    <row r="6" spans="1:8" x14ac:dyDescent="0.3">
      <c r="A6" t="s">
        <v>30</v>
      </c>
      <c r="B6" s="1">
        <v>45031</v>
      </c>
      <c r="C6" t="s">
        <v>31</v>
      </c>
      <c r="D6" t="s">
        <v>32</v>
      </c>
      <c r="E6">
        <v>12</v>
      </c>
      <c r="F6">
        <v>12000</v>
      </c>
      <c r="G6" t="s">
        <v>33</v>
      </c>
      <c r="H6" t="s">
        <v>12</v>
      </c>
    </row>
    <row r="7" spans="1:8" x14ac:dyDescent="0.3">
      <c r="A7" t="s">
        <v>34</v>
      </c>
      <c r="B7" s="1">
        <v>45036</v>
      </c>
      <c r="C7" t="s">
        <v>9</v>
      </c>
      <c r="D7" t="s">
        <v>35</v>
      </c>
      <c r="E7">
        <v>8</v>
      </c>
      <c r="F7">
        <v>17500</v>
      </c>
      <c r="G7" t="s">
        <v>11</v>
      </c>
      <c r="H7" t="s">
        <v>12</v>
      </c>
    </row>
    <row r="8" spans="1:8" x14ac:dyDescent="0.3">
      <c r="A8" t="s">
        <v>36</v>
      </c>
      <c r="B8" t="s">
        <v>37</v>
      </c>
      <c r="C8" t="s">
        <v>38</v>
      </c>
      <c r="D8" t="s">
        <v>39</v>
      </c>
      <c r="E8">
        <v>40</v>
      </c>
      <c r="F8">
        <v>850</v>
      </c>
      <c r="G8" t="s">
        <v>16</v>
      </c>
      <c r="H8" t="s">
        <v>40</v>
      </c>
    </row>
    <row r="9" spans="1:8" x14ac:dyDescent="0.3">
      <c r="A9" t="s">
        <v>41</v>
      </c>
      <c r="B9" s="1">
        <v>45048</v>
      </c>
      <c r="C9" t="s">
        <v>14</v>
      </c>
      <c r="D9" t="s">
        <v>42</v>
      </c>
      <c r="E9">
        <v>3</v>
      </c>
      <c r="F9">
        <v>56000</v>
      </c>
      <c r="G9" t="s">
        <v>22</v>
      </c>
      <c r="H9" t="s">
        <v>23</v>
      </c>
    </row>
    <row r="10" spans="1:8" x14ac:dyDescent="0.3">
      <c r="A10" t="s">
        <v>43</v>
      </c>
      <c r="B10" s="1">
        <v>45204</v>
      </c>
      <c r="C10" t="s">
        <v>19</v>
      </c>
      <c r="D10" t="s">
        <v>20</v>
      </c>
      <c r="E10">
        <v>6</v>
      </c>
      <c r="F10">
        <v>31000</v>
      </c>
      <c r="G10" t="s">
        <v>28</v>
      </c>
      <c r="H10" t="s">
        <v>29</v>
      </c>
    </row>
    <row r="11" spans="1:8" x14ac:dyDescent="0.3">
      <c r="A11" t="s">
        <v>44</v>
      </c>
      <c r="B11" s="1">
        <v>45064</v>
      </c>
      <c r="C11" t="s">
        <v>26</v>
      </c>
      <c r="D11" t="s">
        <v>45</v>
      </c>
      <c r="E11">
        <v>18</v>
      </c>
      <c r="F11">
        <v>4200</v>
      </c>
      <c r="G11" t="s">
        <v>11</v>
      </c>
      <c r="H11"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3CB5A-B7B2-4928-ACE1-F0DD8AE5C315}">
  <dimension ref="A1:N37"/>
  <sheetViews>
    <sheetView tabSelected="1" topLeftCell="B1" workbookViewId="0">
      <selection activeCell="C17" sqref="C17"/>
    </sheetView>
  </sheetViews>
  <sheetFormatPr defaultRowHeight="14.4" x14ac:dyDescent="0.3"/>
  <cols>
    <col min="1" max="1" width="10.5546875" bestFit="1" customWidth="1"/>
    <col min="2" max="4" width="12.44140625" bestFit="1" customWidth="1"/>
    <col min="5" max="5" width="13.33203125" bestFit="1" customWidth="1"/>
    <col min="6" max="6" width="12.44140625" bestFit="1" customWidth="1"/>
    <col min="7" max="7" width="13.44140625" bestFit="1" customWidth="1"/>
    <col min="8" max="8" width="12.44140625" bestFit="1" customWidth="1"/>
    <col min="9" max="9" width="14" bestFit="1" customWidth="1"/>
    <col min="10" max="10" width="8.33203125" bestFit="1" customWidth="1"/>
    <col min="11" max="11" width="12.44140625" bestFit="1" customWidth="1"/>
    <col min="12" max="12" width="14" bestFit="1" customWidth="1"/>
    <col min="13" max="13" width="13.6640625" bestFit="1" customWidth="1"/>
    <col min="14" max="14" width="10.21875" bestFit="1" customWidth="1"/>
    <col min="17" max="17" width="9.109375" bestFit="1" customWidth="1"/>
  </cols>
  <sheetData>
    <row r="1" spans="1:14" x14ac:dyDescent="0.3">
      <c r="A1" t="s">
        <v>0</v>
      </c>
      <c r="B1" t="s">
        <v>1</v>
      </c>
      <c r="C1" t="s">
        <v>2</v>
      </c>
      <c r="D1" t="s">
        <v>3</v>
      </c>
      <c r="E1" t="s">
        <v>4</v>
      </c>
      <c r="F1" t="s">
        <v>5</v>
      </c>
      <c r="G1" t="s">
        <v>6</v>
      </c>
      <c r="H1" t="s">
        <v>7</v>
      </c>
      <c r="I1" t="s">
        <v>46</v>
      </c>
      <c r="J1" t="s">
        <v>47</v>
      </c>
      <c r="K1" t="s">
        <v>48</v>
      </c>
      <c r="L1" t="s">
        <v>49</v>
      </c>
      <c r="M1" t="s">
        <v>69</v>
      </c>
      <c r="N1" t="s">
        <v>65</v>
      </c>
    </row>
    <row r="2" spans="1:14" x14ac:dyDescent="0.3">
      <c r="A2" t="s">
        <v>50</v>
      </c>
      <c r="B2" s="1">
        <v>44958</v>
      </c>
      <c r="C2" t="s">
        <v>9</v>
      </c>
      <c r="D2" t="s">
        <v>20</v>
      </c>
      <c r="E2">
        <v>10</v>
      </c>
      <c r="F2">
        <v>18000</v>
      </c>
      <c r="G2" t="s">
        <v>11</v>
      </c>
      <c r="H2" t="s">
        <v>12</v>
      </c>
      <c r="I2">
        <v>2023</v>
      </c>
      <c r="J2">
        <v>2</v>
      </c>
      <c r="K2">
        <v>1</v>
      </c>
      <c r="L2" t="s">
        <v>51</v>
      </c>
      <c r="M2" t="s">
        <v>70</v>
      </c>
      <c r="N2">
        <f>PRODUCT(Table1_1[[#This Row],[Units Sold]],Table1_1[[#This Row],[Unit Price]])</f>
        <v>180000</v>
      </c>
    </row>
    <row r="3" spans="1:14" x14ac:dyDescent="0.3">
      <c r="A3" t="s">
        <v>52</v>
      </c>
      <c r="B3" s="1">
        <v>44987</v>
      </c>
      <c r="C3" t="s">
        <v>14</v>
      </c>
      <c r="D3" t="s">
        <v>15</v>
      </c>
      <c r="E3">
        <v>5</v>
      </c>
      <c r="F3">
        <v>55000</v>
      </c>
      <c r="G3" t="s">
        <v>16</v>
      </c>
      <c r="H3" t="s">
        <v>17</v>
      </c>
      <c r="I3">
        <v>2023</v>
      </c>
      <c r="J3">
        <v>3</v>
      </c>
      <c r="K3">
        <v>1</v>
      </c>
      <c r="L3" t="s">
        <v>53</v>
      </c>
      <c r="M3" t="s">
        <v>71</v>
      </c>
      <c r="N3">
        <f>PRODUCT(Table1_1[[#This Row],[Units Sold]],Table1_1[[#This Row],[Unit Price]])</f>
        <v>275000</v>
      </c>
    </row>
    <row r="4" spans="1:14" x14ac:dyDescent="0.3">
      <c r="A4" t="s">
        <v>54</v>
      </c>
      <c r="B4" s="1">
        <v>44990</v>
      </c>
      <c r="C4" t="s">
        <v>19</v>
      </c>
      <c r="D4" t="s">
        <v>20</v>
      </c>
      <c r="E4">
        <v>0</v>
      </c>
      <c r="F4">
        <v>32000</v>
      </c>
      <c r="G4" t="s">
        <v>22</v>
      </c>
      <c r="H4" t="s">
        <v>23</v>
      </c>
      <c r="I4">
        <v>2023</v>
      </c>
      <c r="J4">
        <v>3</v>
      </c>
      <c r="K4">
        <v>1</v>
      </c>
      <c r="L4" t="s">
        <v>55</v>
      </c>
      <c r="M4" t="s">
        <v>71</v>
      </c>
      <c r="N4">
        <f>PRODUCT(Table1_1[[#This Row],[Units Sold]],Table1_1[[#This Row],[Unit Price]])</f>
        <v>0</v>
      </c>
    </row>
    <row r="5" spans="1:14" x14ac:dyDescent="0.3">
      <c r="A5" t="s">
        <v>56</v>
      </c>
      <c r="B5" s="1">
        <v>45000</v>
      </c>
      <c r="C5" t="s">
        <v>26</v>
      </c>
      <c r="D5" t="s">
        <v>27</v>
      </c>
      <c r="E5">
        <v>25</v>
      </c>
      <c r="F5">
        <v>0</v>
      </c>
      <c r="G5" t="s">
        <v>28</v>
      </c>
      <c r="H5" t="s">
        <v>29</v>
      </c>
      <c r="I5">
        <v>2023</v>
      </c>
      <c r="J5">
        <v>3</v>
      </c>
      <c r="K5">
        <v>1</v>
      </c>
      <c r="L5" t="s">
        <v>51</v>
      </c>
      <c r="M5" t="s">
        <v>71</v>
      </c>
      <c r="N5">
        <f>PRODUCT(Table1_1[[#This Row],[Units Sold]],Table1_1[[#This Row],[Unit Price]])</f>
        <v>0</v>
      </c>
    </row>
    <row r="6" spans="1:14" x14ac:dyDescent="0.3">
      <c r="A6" t="s">
        <v>57</v>
      </c>
      <c r="B6" s="1">
        <v>45031</v>
      </c>
      <c r="C6" t="s">
        <v>31</v>
      </c>
      <c r="D6" t="s">
        <v>32</v>
      </c>
      <c r="E6">
        <v>12</v>
      </c>
      <c r="F6">
        <v>12000</v>
      </c>
      <c r="G6" t="s">
        <v>33</v>
      </c>
      <c r="H6" t="s">
        <v>12</v>
      </c>
      <c r="I6">
        <v>2023</v>
      </c>
      <c r="J6">
        <v>4</v>
      </c>
      <c r="K6">
        <v>2</v>
      </c>
      <c r="L6" t="s">
        <v>58</v>
      </c>
      <c r="M6" t="s">
        <v>72</v>
      </c>
      <c r="N6">
        <f>PRODUCT(Table1_1[[#This Row],[Units Sold]],Table1_1[[#This Row],[Unit Price]])</f>
        <v>144000</v>
      </c>
    </row>
    <row r="7" spans="1:14" x14ac:dyDescent="0.3">
      <c r="A7" t="s">
        <v>59</v>
      </c>
      <c r="B7" s="1">
        <v>45036</v>
      </c>
      <c r="C7" t="s">
        <v>9</v>
      </c>
      <c r="D7" t="s">
        <v>20</v>
      </c>
      <c r="E7">
        <v>8</v>
      </c>
      <c r="F7">
        <v>17500</v>
      </c>
      <c r="G7" t="s">
        <v>11</v>
      </c>
      <c r="H7" t="s">
        <v>12</v>
      </c>
      <c r="I7">
        <v>2023</v>
      </c>
      <c r="J7">
        <v>4</v>
      </c>
      <c r="K7">
        <v>2</v>
      </c>
      <c r="L7" t="s">
        <v>53</v>
      </c>
      <c r="M7" t="s">
        <v>72</v>
      </c>
      <c r="N7">
        <f>PRODUCT(Table1_1[[#This Row],[Units Sold]],Table1_1[[#This Row],[Unit Price]])</f>
        <v>140000</v>
      </c>
    </row>
    <row r="8" spans="1:14" x14ac:dyDescent="0.3">
      <c r="A8" t="s">
        <v>60</v>
      </c>
      <c r="B8" s="1">
        <v>45041</v>
      </c>
      <c r="C8" t="s">
        <v>38</v>
      </c>
      <c r="D8" t="s">
        <v>39</v>
      </c>
      <c r="E8">
        <v>40</v>
      </c>
      <c r="F8">
        <v>850</v>
      </c>
      <c r="G8" t="s">
        <v>16</v>
      </c>
      <c r="H8" t="s">
        <v>40</v>
      </c>
      <c r="I8">
        <v>2023</v>
      </c>
      <c r="J8">
        <v>4</v>
      </c>
      <c r="K8">
        <v>2</v>
      </c>
      <c r="L8" t="s">
        <v>61</v>
      </c>
      <c r="M8" t="s">
        <v>72</v>
      </c>
      <c r="N8">
        <f>PRODUCT(Table1_1[[#This Row],[Units Sold]],Table1_1[[#This Row],[Unit Price]])</f>
        <v>34000</v>
      </c>
    </row>
    <row r="9" spans="1:14" x14ac:dyDescent="0.3">
      <c r="A9" t="s">
        <v>62</v>
      </c>
      <c r="B9" s="1">
        <v>45048</v>
      </c>
      <c r="C9" t="s">
        <v>14</v>
      </c>
      <c r="D9" t="s">
        <v>15</v>
      </c>
      <c r="E9">
        <v>3</v>
      </c>
      <c r="F9">
        <v>56000</v>
      </c>
      <c r="G9" t="s">
        <v>22</v>
      </c>
      <c r="H9" t="s">
        <v>23</v>
      </c>
      <c r="I9">
        <v>2023</v>
      </c>
      <c r="J9">
        <v>5</v>
      </c>
      <c r="K9">
        <v>2</v>
      </c>
      <c r="L9" t="s">
        <v>61</v>
      </c>
      <c r="M9" t="s">
        <v>73</v>
      </c>
      <c r="N9">
        <f>PRODUCT(Table1_1[[#This Row],[Units Sold]],Table1_1[[#This Row],[Unit Price]])</f>
        <v>168000</v>
      </c>
    </row>
    <row r="10" spans="1:14" x14ac:dyDescent="0.3">
      <c r="A10" t="s">
        <v>63</v>
      </c>
      <c r="B10" s="1">
        <v>45204</v>
      </c>
      <c r="C10" t="s">
        <v>19</v>
      </c>
      <c r="D10" t="s">
        <v>20</v>
      </c>
      <c r="E10">
        <v>6</v>
      </c>
      <c r="F10">
        <v>31000</v>
      </c>
      <c r="G10" t="s">
        <v>28</v>
      </c>
      <c r="H10" t="s">
        <v>29</v>
      </c>
      <c r="I10">
        <v>2023</v>
      </c>
      <c r="J10">
        <v>10</v>
      </c>
      <c r="K10">
        <v>4</v>
      </c>
      <c r="L10" t="s">
        <v>53</v>
      </c>
      <c r="M10" t="s">
        <v>74</v>
      </c>
      <c r="N10">
        <f>PRODUCT(Table1_1[[#This Row],[Units Sold]],Table1_1[[#This Row],[Unit Price]])</f>
        <v>186000</v>
      </c>
    </row>
    <row r="11" spans="1:14" x14ac:dyDescent="0.3">
      <c r="A11" t="s">
        <v>64</v>
      </c>
      <c r="B11" s="1">
        <v>45064</v>
      </c>
      <c r="C11" t="s">
        <v>26</v>
      </c>
      <c r="D11" t="s">
        <v>27</v>
      </c>
      <c r="E11">
        <v>18</v>
      </c>
      <c r="F11">
        <v>4200</v>
      </c>
      <c r="G11" t="s">
        <v>11</v>
      </c>
      <c r="H11" t="s">
        <v>12</v>
      </c>
      <c r="I11">
        <v>2023</v>
      </c>
      <c r="J11">
        <v>5</v>
      </c>
      <c r="K11">
        <v>2</v>
      </c>
      <c r="L11" t="s">
        <v>53</v>
      </c>
      <c r="M11" t="s">
        <v>73</v>
      </c>
      <c r="N11">
        <f>PRODUCT(Table1_1[[#This Row],[Units Sold]],Table1_1[[#This Row],[Unit Price]])</f>
        <v>75600</v>
      </c>
    </row>
    <row r="13" spans="1:14" x14ac:dyDescent="0.3">
      <c r="E13" s="11" t="s">
        <v>75</v>
      </c>
      <c r="F13" s="12"/>
      <c r="G13" s="12"/>
      <c r="H13" s="12"/>
      <c r="I13" s="12"/>
      <c r="J13" s="12"/>
      <c r="K13" s="12"/>
      <c r="L13" s="12"/>
      <c r="M13" s="12"/>
    </row>
    <row r="14" spans="1:14" x14ac:dyDescent="0.3">
      <c r="E14" s="12"/>
      <c r="F14" s="12"/>
      <c r="G14" s="12"/>
      <c r="H14" s="12"/>
      <c r="I14" s="12"/>
      <c r="J14" s="12"/>
      <c r="K14" s="12"/>
      <c r="L14" s="12"/>
      <c r="M14" s="12"/>
    </row>
    <row r="15" spans="1:14" ht="15.6" x14ac:dyDescent="0.3">
      <c r="E15" s="6" t="s">
        <v>47</v>
      </c>
      <c r="F15" s="7" t="s">
        <v>68</v>
      </c>
      <c r="H15" s="6" t="s">
        <v>66</v>
      </c>
      <c r="I15" s="7" t="s">
        <v>68</v>
      </c>
      <c r="K15" s="6" t="s">
        <v>66</v>
      </c>
      <c r="L15" s="7" t="s">
        <v>68</v>
      </c>
    </row>
    <row r="16" spans="1:14" ht="15.6" x14ac:dyDescent="0.3">
      <c r="E16" s="8" t="s">
        <v>70</v>
      </c>
      <c r="F16" s="9">
        <v>180000</v>
      </c>
      <c r="H16" s="8" t="s">
        <v>29</v>
      </c>
      <c r="I16" s="10">
        <v>186000</v>
      </c>
      <c r="K16" s="8" t="s">
        <v>11</v>
      </c>
      <c r="L16" s="10">
        <v>395600</v>
      </c>
    </row>
    <row r="17" spans="4:13" ht="15.6" x14ac:dyDescent="0.3">
      <c r="E17" s="8" t="s">
        <v>71</v>
      </c>
      <c r="F17" s="9">
        <v>275000</v>
      </c>
      <c r="H17" s="8" t="s">
        <v>23</v>
      </c>
      <c r="I17" s="10">
        <v>168000</v>
      </c>
      <c r="K17" s="8" t="s">
        <v>28</v>
      </c>
      <c r="L17" s="10">
        <v>186000</v>
      </c>
    </row>
    <row r="18" spans="4:13" ht="15.6" x14ac:dyDescent="0.3">
      <c r="E18" s="8" t="s">
        <v>72</v>
      </c>
      <c r="F18" s="9">
        <v>318000</v>
      </c>
      <c r="H18" s="8" t="s">
        <v>12</v>
      </c>
      <c r="I18" s="10">
        <v>539600</v>
      </c>
      <c r="K18" s="8" t="s">
        <v>16</v>
      </c>
      <c r="L18" s="10">
        <v>309000</v>
      </c>
    </row>
    <row r="19" spans="4:13" ht="15.6" x14ac:dyDescent="0.3">
      <c r="E19" s="8" t="s">
        <v>73</v>
      </c>
      <c r="F19" s="9">
        <v>243600</v>
      </c>
      <c r="H19" s="8" t="s">
        <v>17</v>
      </c>
      <c r="I19" s="10">
        <v>309000</v>
      </c>
      <c r="K19" s="8" t="s">
        <v>22</v>
      </c>
      <c r="L19" s="10">
        <v>168000</v>
      </c>
    </row>
    <row r="20" spans="4:13" ht="15.6" x14ac:dyDescent="0.3">
      <c r="E20" s="8" t="s">
        <v>74</v>
      </c>
      <c r="F20" s="9">
        <v>186000</v>
      </c>
      <c r="H20" s="8" t="s">
        <v>67</v>
      </c>
      <c r="I20" s="10">
        <v>1202600</v>
      </c>
      <c r="K20" s="8" t="s">
        <v>33</v>
      </c>
      <c r="L20" s="10">
        <v>144000</v>
      </c>
    </row>
    <row r="21" spans="4:13" ht="15.6" x14ac:dyDescent="0.3">
      <c r="E21" s="8" t="s">
        <v>67</v>
      </c>
      <c r="F21" s="9">
        <v>1202600</v>
      </c>
      <c r="K21" s="8" t="s">
        <v>67</v>
      </c>
      <c r="L21" s="10">
        <v>1202600</v>
      </c>
    </row>
    <row r="26" spans="4:13" x14ac:dyDescent="0.3">
      <c r="E26" s="11" t="s">
        <v>76</v>
      </c>
      <c r="F26" s="12"/>
      <c r="G26" s="12"/>
      <c r="H26" s="12"/>
      <c r="I26" s="12"/>
      <c r="J26" s="12"/>
      <c r="K26" s="12"/>
      <c r="L26" s="12"/>
      <c r="M26" s="12"/>
    </row>
    <row r="27" spans="4:13" x14ac:dyDescent="0.3">
      <c r="E27" s="12"/>
      <c r="F27" s="12"/>
      <c r="G27" s="12"/>
      <c r="H27" s="12"/>
      <c r="I27" s="12"/>
      <c r="J27" s="12"/>
      <c r="K27" s="12"/>
      <c r="L27" s="12"/>
      <c r="M27" s="12"/>
    </row>
    <row r="28" spans="4:13" x14ac:dyDescent="0.3">
      <c r="E28" s="12"/>
      <c r="F28" s="12"/>
      <c r="G28" s="12"/>
      <c r="H28" s="12"/>
      <c r="I28" s="12"/>
      <c r="J28" s="12"/>
      <c r="K28" s="12"/>
      <c r="L28" s="12"/>
      <c r="M28" s="12"/>
    </row>
    <row r="30" spans="4:13" ht="21" x14ac:dyDescent="0.4">
      <c r="D30" s="5"/>
      <c r="E30" s="5" t="s">
        <v>77</v>
      </c>
      <c r="F30" s="4"/>
      <c r="G30" s="4"/>
      <c r="H30" s="4"/>
      <c r="I30" s="4"/>
    </row>
    <row r="31" spans="4:13" ht="21" x14ac:dyDescent="0.4">
      <c r="D31" s="5"/>
      <c r="E31" s="3"/>
      <c r="F31" s="4"/>
      <c r="G31" s="4"/>
      <c r="H31" s="4"/>
      <c r="I31" s="4"/>
    </row>
    <row r="32" spans="4:13" ht="21" x14ac:dyDescent="0.4">
      <c r="D32" s="5"/>
      <c r="E32" s="5" t="s">
        <v>78</v>
      </c>
      <c r="F32" s="4"/>
      <c r="G32" s="4"/>
      <c r="H32" s="4"/>
      <c r="I32" s="4"/>
    </row>
    <row r="33" spans="4:9" ht="21" x14ac:dyDescent="0.4">
      <c r="D33" s="5"/>
      <c r="E33" s="3"/>
      <c r="F33" s="4"/>
      <c r="G33" s="4"/>
      <c r="H33" s="4"/>
      <c r="I33" s="4"/>
    </row>
    <row r="34" spans="4:9" ht="21" x14ac:dyDescent="0.4">
      <c r="D34" s="5"/>
      <c r="E34" s="5" t="s">
        <v>79</v>
      </c>
      <c r="F34" s="4"/>
      <c r="G34" s="4"/>
      <c r="H34" s="4"/>
      <c r="I34" s="4"/>
    </row>
    <row r="35" spans="4:9" ht="21" x14ac:dyDescent="0.4">
      <c r="D35" s="5"/>
      <c r="E35" s="3"/>
      <c r="F35" s="4"/>
      <c r="G35" s="4"/>
      <c r="H35" s="4"/>
      <c r="I35" s="4"/>
    </row>
    <row r="36" spans="4:9" ht="21" x14ac:dyDescent="0.4">
      <c r="D36" s="5"/>
      <c r="E36" s="5" t="s">
        <v>80</v>
      </c>
      <c r="F36" s="4"/>
      <c r="G36" s="4"/>
      <c r="H36" s="4" t="s">
        <v>81</v>
      </c>
      <c r="I36" s="4" t="s">
        <v>82</v>
      </c>
    </row>
    <row r="37" spans="4:9" ht="21" x14ac:dyDescent="0.4">
      <c r="D37" s="5"/>
      <c r="E37" s="4"/>
      <c r="F37" s="4"/>
      <c r="G37" s="4"/>
      <c r="H37" s="4"/>
      <c r="I37" s="4"/>
    </row>
  </sheetData>
  <mergeCells count="2">
    <mergeCell ref="E13:M14"/>
    <mergeCell ref="E26:M28"/>
  </mergeCells>
  <pageMargins left="0.7" right="0.7" top="0.75" bottom="0.75" header="0.3" footer="0.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369F3-6F60-4F9E-944C-B52A3773A189}">
  <dimension ref="A1:S2"/>
  <sheetViews>
    <sheetView workbookViewId="0">
      <selection activeCell="K38" sqref="K38"/>
    </sheetView>
  </sheetViews>
  <sheetFormatPr defaultRowHeight="14.4" x14ac:dyDescent="0.3"/>
  <sheetData>
    <row r="1" spans="1:19" x14ac:dyDescent="0.3">
      <c r="A1" s="13"/>
      <c r="B1" s="13"/>
      <c r="C1" s="13"/>
      <c r="D1" s="13"/>
      <c r="E1" s="13"/>
      <c r="F1" s="13"/>
      <c r="G1" s="13"/>
      <c r="H1" s="13"/>
      <c r="I1" s="13"/>
      <c r="J1" s="13"/>
      <c r="K1" s="13"/>
      <c r="L1" s="13"/>
      <c r="M1" s="13"/>
      <c r="N1" s="13"/>
      <c r="O1" s="13"/>
      <c r="P1" s="13"/>
      <c r="Q1" s="13"/>
      <c r="R1" s="13"/>
      <c r="S1" s="13"/>
    </row>
    <row r="2" spans="1:19" x14ac:dyDescent="0.3">
      <c r="A2" s="13"/>
      <c r="B2" s="13"/>
      <c r="C2" s="13"/>
      <c r="D2" s="13"/>
      <c r="E2" s="13"/>
      <c r="F2" s="13"/>
      <c r="G2" s="13"/>
      <c r="H2" s="13"/>
      <c r="I2" s="13"/>
      <c r="J2" s="13"/>
      <c r="K2" s="13"/>
      <c r="L2" s="13"/>
      <c r="M2" s="13"/>
      <c r="N2" s="13"/>
      <c r="O2" s="13"/>
      <c r="P2" s="13"/>
      <c r="Q2" s="13"/>
      <c r="R2" s="13"/>
      <c r="S2" s="13"/>
    </row>
  </sheetData>
  <mergeCells count="1">
    <mergeCell ref="A1:S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9B520A-DE74-4799-B3F5-10C4DD5315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cleaned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Tejaswini Bheemarasetty</dc:creator>
  <cp:lastModifiedBy>Tejaswini Bheemarasetty</cp:lastModifiedBy>
  <dcterms:created xsi:type="dcterms:W3CDTF">2026-02-01T06:34:02Z</dcterms:created>
  <dcterms:modified xsi:type="dcterms:W3CDTF">2026-02-01T10:07:37Z</dcterms:modified>
</cp:coreProperties>
</file>